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" sheetId="2" r:id="rId6"/>
  </sheets>
  <definedNames/>
  <calcPr/>
</workbook>
</file>

<file path=xl/sharedStrings.xml><?xml version="1.0" encoding="utf-8"?>
<sst xmlns="http://schemas.openxmlformats.org/spreadsheetml/2006/main" count="25" uniqueCount="20">
  <si>
    <t>ticket_id</t>
  </si>
  <si>
    <t>created_at</t>
  </si>
  <si>
    <t>closed_at</t>
  </si>
  <si>
    <t>outlet_id</t>
  </si>
  <si>
    <t>cms_id</t>
  </si>
  <si>
    <t>same day</t>
  </si>
  <si>
    <t>same hour</t>
  </si>
  <si>
    <t>same day count</t>
  </si>
  <si>
    <t>same hour count</t>
  </si>
  <si>
    <t>t1</t>
  </si>
  <si>
    <t>o1</t>
  </si>
  <si>
    <t>c1</t>
  </si>
  <si>
    <t>t2</t>
  </si>
  <si>
    <t>c2</t>
  </si>
  <si>
    <t>t3</t>
  </si>
  <si>
    <t>o2</t>
  </si>
  <si>
    <t>c3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</si>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</sst>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2" t="s">
        <v>9</v>
      </c>
      <c r="B2" s="3">
        <v>44429.416666666664</v>
      </c>
      <c r="C2" s="3">
        <v>44429.458333333336</v>
      </c>
      <c r="D2" s="2" t="s">
        <v>10</v>
      </c>
      <c r="E2" s="2" t="s">
        <v>11</v>
      </c>
      <c r="F2" s="4" t="str">
        <f t="shared" ref="F2:F4" si="1">IF(INT(B2)=INT(C2),"Yes","No")</f>
        <v>Yes</v>
      </c>
      <c r="G2" s="4" t="str">
        <f t="shared" ref="G2:G4" si="2">IF(AND(INT(B2)=INT(C2),HOUR(B2)=HOUR(C2)),"Yes","No")</f>
        <v>No</v>
      </c>
      <c r="H2" s="4">
        <f t="shared" ref="H2:H4" si="3">COUNTIFS(D:D,"o1",F:F,"Yes")</f>
        <v>1</v>
      </c>
      <c r="I2" s="4">
        <f t="shared" ref="I2:I4" si="4">COUNTIFS(D:D,"o1",G:G,"Yes")</f>
        <v>0</v>
      </c>
    </row>
    <row r="3">
      <c r="A3" s="2" t="s">
        <v>12</v>
      </c>
      <c r="B3" s="3">
        <v>44429.416666666664</v>
      </c>
      <c r="C3" s="3">
        <v>44430.5</v>
      </c>
      <c r="D3" s="2" t="s">
        <v>10</v>
      </c>
      <c r="E3" s="2" t="s">
        <v>13</v>
      </c>
      <c r="F3" s="4" t="str">
        <f t="shared" si="1"/>
        <v>No</v>
      </c>
      <c r="G3" s="4" t="str">
        <f t="shared" si="2"/>
        <v>No</v>
      </c>
      <c r="H3" s="4">
        <f t="shared" si="3"/>
        <v>1</v>
      </c>
      <c r="I3" s="4">
        <f t="shared" si="4"/>
        <v>0</v>
      </c>
    </row>
    <row r="4">
      <c r="A4" s="2" t="s">
        <v>14</v>
      </c>
      <c r="B4" s="3">
        <v>44430.375</v>
      </c>
      <c r="C4" s="3">
        <v>44430.395833333336</v>
      </c>
      <c r="D4" s="2" t="s">
        <v>15</v>
      </c>
      <c r="E4" s="2" t="s">
        <v>16</v>
      </c>
      <c r="F4" s="4" t="str">
        <f t="shared" si="1"/>
        <v>Yes</v>
      </c>
      <c r="G4" s="4" t="str">
        <f t="shared" si="2"/>
        <v>Yes</v>
      </c>
      <c r="H4" s="4">
        <f t="shared" si="3"/>
        <v>1</v>
      </c>
      <c r="I4" s="4">
        <f t="shared" si="4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6.5"/>
    <col customWidth="1" min="3" max="3" width="13.75"/>
    <col customWidth="1" min="4" max="4" width="16.5"/>
  </cols>
  <sheetData>
    <row r="1">
      <c r="A1" s="1" t="s">
        <v>4</v>
      </c>
      <c r="B1" s="1" t="s">
        <v>17</v>
      </c>
      <c r="C1" s="1" t="s">
        <v>18</v>
      </c>
      <c r="D1" s="1" t="s">
        <v>19</v>
      </c>
    </row>
    <row r="2">
      <c r="A2" s="2" t="s">
        <v>11</v>
      </c>
      <c r="B2" s="3">
        <v>44429.541666666664</v>
      </c>
      <c r="C2" s="2">
        <v>3.0</v>
      </c>
      <c r="D2" s="5">
        <f t="array" ref="D2">INDEX(ticket!B:B, MATCH(A2, ticket!E:E, 0))</f>
        <v>44429.41667</v>
      </c>
    </row>
    <row r="3">
      <c r="A3" s="2" t="s">
        <v>13</v>
      </c>
      <c r="B3" s="3">
        <v>44430.583333333336</v>
      </c>
      <c r="C3" s="2">
        <v>4.0</v>
      </c>
      <c r="D3" s="5">
        <f t="array" ref="D3">INDEX(ticket!B:B, MATCH(A3, ticket!E:E, 0))</f>
        <v>44429.41667</v>
      </c>
    </row>
    <row r="4">
      <c r="A4" s="2" t="s">
        <v>16</v>
      </c>
      <c r="B4" s="3">
        <v>44430.416666666664</v>
      </c>
      <c r="C4" s="2">
        <v>5.0</v>
      </c>
      <c r="D4" s="5">
        <f t="array" ref="D4">INDEX(ticket!B:B, MATCH(A4, ticket!E:E, 0))</f>
        <v>44430.375</v>
      </c>
    </row>
  </sheetData>
  <drawing r:id="rId1"/>
</worksheet>
</file>